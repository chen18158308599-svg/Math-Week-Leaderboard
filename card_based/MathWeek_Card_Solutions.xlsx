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xr:revisionPtr revIDLastSave="0" documentId="11_DCE9F3730CAA05D220733A103DA1DE82636553B5" xr6:coauthVersionLast="47" xr6:coauthVersionMax="47" xr10:uidLastSave="{00000000-0000-0000-0000-000000000000}"/>
  <bookViews>
    <workbookView xWindow="0" yWindow="0" windowWidth="0" windowHeight="0" xr2:uid="{00000000-000D-0000-FFFF-FFFF00000000}"/>
  </bookViews>
  <sheets>
    <sheet name="Answer Key" sheetId="1" r:id="rId1"/>
    <sheet name="Mystery Chest" sheetId="2" r:id="rId2"/>
    <sheet name="Kanoodle" sheetId="3" r:id="rId3"/>
    <sheet name="Open Items" sheetId="4" r:id="rId4"/>
  </sheets>
  <calcPr calcId="0" fullCalcOn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1" i="2" l="1"/>
  <c r="C19" i="2"/>
  <c r="C18" i="2"/>
  <c r="C17" i="2"/>
  <c r="C16" i="2"/>
</calcChain>
</file>

<file path=xl/sharedStrings.xml><?xml version="1.0" encoding="utf-8"?>
<sst xmlns="http://schemas.openxmlformats.org/spreadsheetml/2006/main" count="504" uniqueCount="281">
  <si>
    <t>MAT Mini Booth, card answer key</t>
  </si>
  <si>
    <t>One row per card in MathWeek_Code_Card_Based.pdf (32 cards). Committee copy, not for display at the booths.</t>
  </si>
  <si>
    <t>Card</t>
  </si>
  <si>
    <t>Activity</t>
  </si>
  <si>
    <t>Theme</t>
  </si>
  <si>
    <t>Title</t>
  </si>
  <si>
    <t>Answer</t>
  </si>
  <si>
    <t>How / why</t>
  </si>
  <si>
    <t>Notes</t>
  </si>
  <si>
    <t>No. 01</t>
  </si>
  <si>
    <t>Code (Card)</t>
  </si>
  <si>
    <t>1</t>
  </si>
  <si>
    <t>Age Difference Puzzle</t>
  </si>
  <si>
    <t>48</t>
  </si>
  <si>
    <t>The brother is 2 now, so he is 2 years younger for ever. When Chunxiang is 50 the brother is 50 - 2 = 48.</t>
  </si>
  <si>
    <t>Decode input: no (Theme 1).</t>
  </si>
  <si>
    <t>No. 02</t>
  </si>
  <si>
    <t>Two-Child Probability Puzzle</t>
  </si>
  <si>
    <t>1/3</t>
  </si>
  <si>
    <t>Equally likely families: BB, BG, GB, GG. 'At least one boy' rules out GG, leaving three cases, and only BB has the other child a boy.</t>
  </si>
  <si>
    <t>The classic intended answer. Phrasing it as 'the older is a boy' would give 1/2.</t>
  </si>
  <si>
    <t>No. 03</t>
  </si>
  <si>
    <t>Six-Matchstick Triangle Challenge</t>
  </si>
  <si>
    <t>4</t>
  </si>
  <si>
    <t>Build a regular tetrahedron: 6 edges, 4 equilateral faces. Flat on the table the most is 2.</t>
  </si>
  <si>
    <t>The hint ('need not be flat') is what makes it fair.</t>
  </si>
  <si>
    <t>No. 04</t>
  </si>
  <si>
    <t>Pick's Theorem Area Challenge</t>
  </si>
  <si>
    <t>20  (A1=4, A2=3, A3=6, A4=7)</t>
  </si>
  <si>
    <t>Pick: A = I + B/2 - 1. A1: I=1,B=8. A2: I=1,B=6. A3: I=3,B=8. A4: I=4,B=8.</t>
  </si>
  <si>
    <t>FIXED: A4 previously had vertices (3.5,4) and (4,1.5), which are not lattice points, so Pick's theorem did not apply. Now (3,4) and (4,2).</t>
  </si>
  <si>
    <t>No. 05</t>
  </si>
  <si>
    <t>Will the Boy Be Safe?</t>
  </si>
  <si>
    <t>6.9 ft  (so: not safe)</t>
  </si>
  <si>
    <t>The broken part pivots at the break: it reaches sqrt(8^2 - 4^2) = 4*sqrt(3) = 6.93 ft from the base. The boy stands at 6 ft, so it reaches past him.</t>
  </si>
  <si>
    <t>Margin is only about 0.93 ft.</t>
  </si>
  <si>
    <t>No. 06</t>
  </si>
  <si>
    <t>Infinite Radical Challenge</t>
  </si>
  <si>
    <t>(a) 4/3   (b) 1.618   (c) 4</t>
  </si>
  <si>
    <t>(a) 1.7777... = 16/9, so the root is 4/3. (b) x = sqrt(1+x) gives x^2 - x - 1 = 0, positive root = golden ratio. (c) 2^(1/2)*4^(1/4)*8^(1/8)*... = 2^(sum k/2^k) = 2^2 = 4.</t>
  </si>
  <si>
    <t>Part (c) is decode input N2.</t>
  </si>
  <si>
    <t>No. 07</t>
  </si>
  <si>
    <t>3</t>
  </si>
  <si>
    <t>Mirror Symmetry Challenge</t>
  </si>
  <si>
    <t>WOW, TOOT, AHA, MUM</t>
  </si>
  <si>
    <t>A word survives a vertical mirror only if BOTH conditions hold: every letter is itself mirror-symmetric (A H I M O T U V W X Y), and the word is a palindrome. MATH has symmetric letters but is not a palindrome. NOON, LEVEL and RADAR are palindromes but contain N, L, E, R, D, which the mirror destroys. WOW, TOOT, AHA and MUM pass both.</t>
  </si>
  <si>
    <t>REPLACED: the old card just asked you to transcribe nine mirrored words back, a reading exercise with no mathematics in it. This one is about symmetry: a reflection flips each letter AND reverses their order, so both have to survive.</t>
  </si>
  <si>
    <t>No. 08</t>
  </si>
  <si>
    <t>Patterned Sum Challenge</t>
  </si>
  <si>
    <t>First: 45.5 (= 91/2).   Second: 50</t>
  </si>
  <si>
    <t>First: sin^2(k) + sin^2(90-k) = 1 pairs k=1..44 with 89..46 (44 pairs), plus sin^2(45)=1/2 and sin^2(90)=1. Second: (100-98)+(96-94)+...+(4-2) = 25 pairs of 2.</t>
  </si>
  <si>
    <t>The second expression is decode input N3.</t>
  </si>
  <si>
    <t>No. 09</t>
  </si>
  <si>
    <t>Find the Fallacy</t>
  </si>
  <si>
    <t>762</t>
  </si>
  <si>
    <t>A, line 7: (3-x)^2 = (pi-x)^2 only gives 3-x = +/-(pi-x), and with x = (pi+3)/2 the left side is negative while the right is positive. B, line 6: a = b makes a^2 - ab = 0, so this line divides both sides by zero. C, line 2: 4 - 9/2 = -1/2 is negative, so sqrt((4-9/2)^2) = +1/2, and the line is already false.</t>
  </si>
  <si>
    <t>CHANGED: the proofs are now numbered line by line and the card asks for the three line numbers as one string, so the answer is checkable.</t>
  </si>
  <si>
    <t>No. 10</t>
  </si>
  <si>
    <t>The Fake Coin</t>
  </si>
  <si>
    <t>18 possible outcomes (9 coins x heavier/lighter). Two weighings distinguish at most 3^2 = 9 &lt; 18, so 3 are necessary; a 3-3-3 split then 3-way splits achieves it.</t>
  </si>
  <si>
    <t>Both parts matter: find the coin AND say which way it is off.</t>
  </si>
  <si>
    <t>No. 11</t>
  </si>
  <si>
    <t>Palindrome Pattern</t>
  </si>
  <si>
    <t>456,976  (= 26^4)</t>
  </si>
  <si>
    <t>The pattern ABCDCBA has four free positions A, B, C, D; each is any of 26 letters.</t>
  </si>
  <si>
    <t>Decode input N4.</t>
  </si>
  <si>
    <t>No. 12</t>
  </si>
  <si>
    <t>2</t>
  </si>
  <si>
    <t>Passcode Collision</t>
  </si>
  <si>
    <t>99</t>
  </si>
  <si>
    <t>P(at least two share) = 1 - product over k=0..299 of (1 - k/10000) = 0.98922. The Poisson estimate 1 - exp(-300*299/20000) = 98.87% rounds to the same whole percent.</t>
  </si>
  <si>
    <t>Decode input N5, the card asks for the whole-number percentage, and both routes give 99.</t>
  </si>
  <si>
    <t>No. 13</t>
  </si>
  <si>
    <t>Mean vs. Median</t>
  </si>
  <si>
    <t>Mean 1,254,000   Median 60,000</t>
  </si>
  <si>
    <t>Mean = (9 x 60,000 + 12,000,000)/10 = 1,254,000. With ten values the median is the average of the 5th and 6th, both still 60,000.</t>
  </si>
  <si>
    <t>Decode input N6 is the new mean.</t>
  </si>
  <si>
    <t>No. 14</t>
  </si>
  <si>
    <t>Rare Disease and False Positives</t>
  </si>
  <si>
    <t>9</t>
  </si>
  <si>
    <t>Of the ~11 positives only 1 is really sick, so the chance is 1/11 = 9.09% -&gt; 9%. A second independent positive turns the same calculation round: about 10/11, or 91%.</t>
  </si>
  <si>
    <t>CHANGED: the card used to ask what the doctor should do, which has no checkable answer. It now asks for the probability; the doctor's move became the closing note.</t>
  </si>
  <si>
    <t>No. 15</t>
  </si>
  <si>
    <t>Shortest Path for a Delivery Robot</t>
  </si>
  <si>
    <t>A-C-B = 2+1 = 3; A-D-C-B = 5+1+1 = 7; A-D-B = 5+3 = 8. The quickest route is A -&gt; C -&gt; B.</t>
  </si>
  <si>
    <t>Decode input N7. The card used to ask for the route and the time together; it now asks only for the time, in minutes.</t>
  </si>
  <si>
    <t>No. 16</t>
  </si>
  <si>
    <t>Mondrian Art Problem</t>
  </si>
  <si>
    <t>5</t>
  </si>
  <si>
    <t>Verified by exhaustive search. One optimal tiling (7 rectangles, areas 3,4,4,5,6,6,8): see the 'Mondrian' block on the Kanoodle sheet.</t>
  </si>
  <si>
    <t>FIXED: the card now says at least two rectangles must be used (otherwise a single 6x6 scores 0) and that the lowest score wins.</t>
  </si>
  <si>
    <t>No. 17</t>
  </si>
  <si>
    <t>Equation to 45</t>
  </si>
  <si>
    <t>24</t>
  </si>
  <si>
    <t>Equations of the form [2-digit] op [1-digit] = 45, counted by exhaustive search: 10 with + (36+9 up to 45+0), 10 with - (45-0 up to 54-9), 2 with x (15x3, 45x1) and 2 with / (45/1, 90/2). 10+10+2+2 = 24.</t>
  </si>
  <si>
    <t>CHANGED: filling the grid is open-ended and had no single answer. The grid is now the working space and the submitted answer is the count. The card says 0 counts as a digit, so 45+0 and 45-0 are in.</t>
  </si>
  <si>
    <t>No. 18</t>
  </si>
  <si>
    <t>Target 24</t>
  </si>
  <si>
    <t>10 x 12 / (6 - 1) = 24</t>
  </si>
  <si>
    <t>120/5 = 24. Equivalent orderings: 12 x 10/(6-1), 10/((6-1)/12), 12/((6-1)/10). Exhaustive search finds no essentially different solution.</t>
  </si>
  <si>
    <t>Every number used exactly once.</t>
  </si>
  <si>
    <t>No. 19</t>
  </si>
  <si>
    <t>Cryptogram Puzzle</t>
  </si>
  <si>
    <t>MATHEMATICS IS THE QUEEN OF THE SCIENCES</t>
  </si>
  <si>
    <t>Cipher -&gt; plain: L=A, E=B, A=C, B=D, F=E, G=F, H=G, J=H, K=I, M=J, N=K, P=L, Q=M, T=N, U=O, V=P, W=Q, X=R, Z=S, S=T, O=U, D=V, Y=W, C=X, I=Y, R=Z. Way in: F is the commonest letter and stands for E; SJF appearing twice is THE.</t>
  </si>
  <si>
    <t>REPLACED: the previous ciphertext (NQEETROY KPZT PO NSQPO YPFKE) does not decode to any English sentence under a consistent substitution, checked against a full dictionary.</t>
  </si>
  <si>
    <t>No. 20</t>
  </si>
  <si>
    <t>The Monty Hall Problem</t>
  </si>
  <si>
    <t>2/3</t>
  </si>
  <si>
    <t>Your first pick is right 1/3 of the time. The host never opens the car, so the remaining door carries the whole other 2/3.</t>
  </si>
  <si>
    <t>The card asks for the probability, not just the choice.</t>
  </si>
  <si>
    <t>No. 21</t>
  </si>
  <si>
    <t>Kissing Circles</t>
  </si>
  <si>
    <t>22</t>
  </si>
  <si>
    <t>Descartes: k4 = k1 + k2 + k3 + 2*sqrt(k1k2 + k2k3 + k3k1), with k = 1/r. From 1/178.2 + 1/148.8 + 1/112.9 the inner curvature is 0.045434 per cm, so r4 = 22.01 cm. The same equation's other root is the floor's own edge (r = 327.4 cm), which encloses the three and so counts as curvature -1/327.4.</t>
  </si>
  <si>
    <t>NEW card, set at Installation 2, the kissing-circle frame. The radii are the real inked circles under the three mirror dodecahedra, from Installation Display 2 (base circle = the Library glass floor, radius 327.4 cm). The answer is inked on the floor, so solvers can check it by pacing it out.</t>
  </si>
  <si>
    <t>No. 22</t>
  </si>
  <si>
    <t>The Josephus Problem</t>
  </si>
  <si>
    <t>This is the standard k = 2 Josephus problem: every second person goes. Removal order 2, 4, 6, 8, 1, 5, 9, 7, leaving 3. Shortcut: write n = 2^m + L (here 9 = 8 + 1); the survivor is 2L + 1 = 3. Whenever the head count is a power of 2 the survivor is 1, and each extra person moves the safe seat two places on.</t>
  </si>
  <si>
    <t>NEW card, from the hand-drawn room layout: nine seats round the edge, 1 at bottom centre, numbered clockwise. Not a decode input (Theme 1).</t>
  </si>
  <si>
    <t>FINAL</t>
  </si>
  <si>
    <t>n/a</t>
  </si>
  <si>
    <t>Mystery Chest Decode Card</t>
  </si>
  <si>
    <t>Password: 4693</t>
  </si>
  <si>
    <t>See the 'Mystery Chest' sheet for the seven inputs and the arithmetic.</t>
  </si>
  <si>
    <t>REWRITTEN: the old rule used A1..A10 = 'the first ten cards', but most of those answers are not numbers (a probability, a yes/no, a list of words), so no password could be computed.</t>
  </si>
  <si>
    <t>INT 01</t>
  </si>
  <si>
    <t>Code (Interactive)</t>
  </si>
  <si>
    <t>Kanoodle, Floor Edition</t>
  </si>
  <si>
    <t>CLBHG</t>
  </si>
  <si>
    <t>Star cells in reading order are covered by pieces C, L, B, H, G. The completion of the given start position is unique, verified by exhaustive search.</t>
  </si>
  <si>
    <t>Full grids on the 'Kanoodle' sheet.</t>
  </si>
  <si>
    <t>INT 02</t>
  </si>
  <si>
    <t>Tower of Hanoi</t>
  </si>
  <si>
    <t>1A  (disk 1 onto peg A)</t>
  </si>
  <si>
    <t>The optimal 4-disk solution is 1-&gt;B, 2-&gt;C, 1-&gt;C, 3-&gt;B, 1-&gt;A, ... so move 5 is disk 1 onto A. Check without playing: on move k the disk moved is 1 + (trailing zeros of k in binary); k=5=101 has none, so disk 1. With an even number of disks, disk 1 cycles A-&gt;B-&gt;C-&gt;A, and its third move lands on A.</t>
  </si>
  <si>
    <t>15 moves in total; the optimal solution is unique.</t>
  </si>
  <si>
    <t>INT 03</t>
  </si>
  <si>
    <t>Bagua: The Round Table of Eight</t>
  </si>
  <si>
    <t>813</t>
  </si>
  <si>
    <t>Seats 1-8 are 111, 011, 001, 000, 010, 110, 100, 101 (lines read bottom first). Unique, checked over all 40,320 orders. The three trigrams with exactly one solid line are 001 in seat 3 (Later Heaven 8), 010 in seat 5 (1) and 100 in seat 7 (3), so the passcode is 813. Solver self-check: the Later Heaven numbers in seats 1, 3, 5 and 7 add to 18.</t>
  </si>
  <si>
    <t>REPLACED to match the Event Flow Plan as updated 2026-10-15: the nine hint cards are gone and one puzzle, The Round Table of Eight, runs all week. A ring where neighbours differ in one bit is a Gray code.</t>
  </si>
  <si>
    <t>INT 04</t>
  </si>
  <si>
    <t>Liar Dialogue</t>
  </si>
  <si>
    <t>91</t>
  </si>
  <si>
    <t>Nailong is true: digits sum to 10, and the number is above 60 -&gt; 64, 73, 82, 91. Niulai lies: it is NOT even -&gt; 73, 91; and NOT prime -&gt; 91 (= 7 x 13).</t>
  </si>
  <si>
    <t>NEW dialogue, the plan left the content to be written. Unique answer, verified over all two-digit numbers.</t>
  </si>
  <si>
    <t>COM 01</t>
  </si>
  <si>
    <t>Committee</t>
  </si>
  <si>
    <t>Conway's Soldiers</t>
  </si>
  <si>
    <t>20</t>
  </si>
  <si>
    <t>Minimum soldiers: row 1 -&gt; 2, row 2 -&gt; 4, row 3 -&gt; 8, row 4 -&gt; 20. The 20-soldier start and its 19-jump sequence are in the Event Flow Plan. Row 5 cannot be reached by any finite army (weight each cell by phi^-distance; the total below the line is less than the target's weight and never increases).</t>
  </si>
  <si>
    <t>Points are awarded for reaching row 4.</t>
  </si>
  <si>
    <t>COM 02</t>
  </si>
  <si>
    <t>The Knight's Tour</t>
  </si>
  <si>
    <t>63</t>
  </si>
  <si>
    <t>Every square carries a checker and none was visited twice. Reference for the committee: Warnsdorff's rule, always move to the square with the fewest onward moves, almost always completes an 8x8 tour.</t>
  </si>
  <si>
    <t>Still to decide: the time limit, and whether the small board scores less.</t>
  </si>
  <si>
    <t>COM 03</t>
  </si>
  <si>
    <t>A Blind, A Deaf, A Mute</t>
  </si>
  <si>
    <t>532  (the worked example)</t>
  </si>
  <si>
    <t>Worked example from the plan: A, B, C are different integers from 1 to 6; A &gt; B; C even; A + C = 7; A + B + C = 10. Unique answer A = 5, B = 3, C = 2.</t>
  </si>
  <si>
    <t>The committee's copy of each puzzle card carries its answer. Proposed limit 5 minutes.</t>
  </si>
  <si>
    <t>COM 04</t>
  </si>
  <si>
    <t>Rubik Mini Booth</t>
  </si>
  <si>
    <t>None (the challenge completed, committee verified)</t>
  </si>
  <si>
    <t>A Rubik Society member sets the challenge, times it and judges it: one full layer for the beginner tier, the whole cube for the solver tier. Nothing is printed on the card, so the member explains the tiers and the time limits on the spot. Useful fact to have ready for questions: God's number is 20: every scramble of a 3x3 is solvable in at most 20 moves, counting a half turn as one (26 in the quarter-turn metric).</t>
  </si>
  <si>
    <t>CHANGED: the card is now a heading, 'Complete the challenge.', a large 3D cube and the Instagram line, nothing else. The God's-number question it used to ask has gone with the wording, so this card no longer has an answer to record.</t>
  </si>
  <si>
    <t>COM 05</t>
  </si>
  <si>
    <t>Luban Lock &amp; Rope Puzzle Challenge</t>
  </si>
  <si>
    <t>Lock tier: 6    Rope tier: No</t>
  </si>
  <si>
    <t>Lock tier: the six-way Luban lock (A1 on the model list) is a 6-piece burr, so the answer is 6; the committee also checks it is back together. Rope tier: the cord never has to be untied: the ring comes free by a continuous deformation, which is the whole topological point.</t>
  </si>
  <si>
    <t>CHANGED: the free-play tray card is gone and this is the only Luban card, the timed challenge, with the rope puzzles as a tier of their own. No diagram, and the mini prize is replaced by bonus points. The lock is fixed as the six-way lock so the piece count is definite.</t>
  </si>
  <si>
    <t>Mystery Chest, password</t>
  </si>
  <si>
    <t>Seven cards with a single whole-number answer. Only Themes 2-4 feed the chest, as set out in the Event Flow Plan; the Theme 1 answers stay on the answer sheet.</t>
  </si>
  <si>
    <t>Blue cells are the inputs. Change one and the password below recalculates.</t>
  </si>
  <si>
    <t>Input</t>
  </si>
  <si>
    <t>What to use</t>
  </si>
  <si>
    <t>N1</t>
  </si>
  <si>
    <t>Pick's Theorem, the total area</t>
  </si>
  <si>
    <t>N2</t>
  </si>
  <si>
    <t>Infinite Radical, part (c)</t>
  </si>
  <si>
    <t>N3</t>
  </si>
  <si>
    <t>Patterned Sum, the second expression</t>
  </si>
  <si>
    <t>N4</t>
  </si>
  <si>
    <t>N5</t>
  </si>
  <si>
    <t>Passcode Collision, as a whole percentage</t>
  </si>
  <si>
    <t>N6</t>
  </si>
  <si>
    <t>Mean vs. Median, the new mean, in RM</t>
  </si>
  <si>
    <t>N7</t>
  </si>
  <si>
    <t>Delivery Robot, minimum minutes</t>
  </si>
  <si>
    <t>Digit</t>
  </si>
  <si>
    <t>Rule</t>
  </si>
  <si>
    <t>Value</t>
  </si>
  <si>
    <t>D1</t>
  </si>
  <si>
    <t>(N1 + N2) mod 10</t>
  </si>
  <si>
    <t>D2</t>
  </si>
  <si>
    <t>(N3 + N4) mod 10</t>
  </si>
  <si>
    <t>D3</t>
  </si>
  <si>
    <t>(N5 + N6) mod 10</t>
  </si>
  <si>
    <t>D4</t>
  </si>
  <si>
    <t>N7 mod 10</t>
  </si>
  <si>
    <t>MYSTERY CHEST PASSWORD</t>
  </si>
  <si>
    <t>(with the answers as listed: 4693)</t>
  </si>
  <si>
    <t>x mod 10 is the last digit of x, so only the last digit of each answer matters, which is worth pointing out to anyone who gets stuck on the big numbers.</t>
  </si>
  <si>
    <t>INT 01 Kanoodle, start position and solution</t>
  </si>
  <si>
    <t>Board is 5 rows x 11 columns. Pieces A and D are pre-placed; * marks the five passcode cells.</t>
  </si>
  <si>
    <t>Start position (what is printed on the card)</t>
  </si>
  <si>
    <t>D</t>
  </si>
  <si>
    <t>*</t>
  </si>
  <si>
    <t>A</t>
  </si>
  <si>
    <t>Solution (unique completion, verified by exhaustive search)</t>
  </si>
  <si>
    <t>I</t>
  </si>
  <si>
    <t>L</t>
  </si>
  <si>
    <t>C</t>
  </si>
  <si>
    <t>K</t>
  </si>
  <si>
    <t>B</t>
  </si>
  <si>
    <t>H</t>
  </si>
  <si>
    <t>G</t>
  </si>
  <si>
    <t>F</t>
  </si>
  <si>
    <t>E</t>
  </si>
  <si>
    <t>J</t>
  </si>
  <si>
    <t>PASSCODE</t>
  </si>
  <si>
    <t>Read the pieces on the * cells top row first, left to right.</t>
  </si>
  <si>
    <t>No. 16 Mondrian, an optimal 6x6 tiling, score 5</t>
  </si>
  <si>
    <t>1x3</t>
  </si>
  <si>
    <t>1x4</t>
  </si>
  <si>
    <t>1x5</t>
  </si>
  <si>
    <t>2x2</t>
  </si>
  <si>
    <t>2x4</t>
  </si>
  <si>
    <t>2x3</t>
  </si>
  <si>
    <t>1x6</t>
  </si>
  <si>
    <t>Seven rectangles, all different dimensions; areas 3,4,4,5,6,6,8 -&gt; 8 - 3 = 5.</t>
  </si>
  <si>
    <t>Open items and changes made</t>
  </si>
  <si>
    <t>Kind</t>
  </si>
  <si>
    <t>Item</t>
  </si>
  <si>
    <t>Fixed</t>
  </si>
  <si>
    <t>Polygon A4 had vertices (3.5,4) and (4,1.5), which are not lattice points, so Pick's theorem did not apply to it. Replaced with (3,4) and (4,2); the four areas are now 4, 3, 6, 7 and the total is 20.</t>
  </si>
  <si>
    <t>The rules allowed a single 6x6 rectangle, which scores 0 and wins trivially. Added 'you must use at least two rectangles', and said that the lowest score wins.</t>
  </si>
  <si>
    <t>Spelling: 'Modrian' -&gt; 'Mondrian'.</t>
  </si>
  <si>
    <t>The ciphertext did not decode to any English sentence under a consistent monoalphabetic substitution (checked against a full dictionary). Replaced with a verified one and a letter-frequency hint.</t>
  </si>
  <si>
    <t>The decode rule used the answers of 'the first ten cards', but most of those are not whole numbers, so no password existed. Rebuilt on seven named cards that do have one.</t>
  </si>
  <si>
    <t>Decide</t>
  </si>
  <si>
    <t>The chest now draws only on Themes 2-4, matching the plan's split (Theme 1 answers stay on the answer sheet). Confirm that is still what you want.</t>
  </si>
  <si>
    <t>New</t>
  </si>
  <si>
    <t>New card: the inner Soddy circle at Installation 1. Part (a) idealises the two lobes as circles of radius 25 cm (the lobe half-height); that keeps the 50 cm lobe height and the crossing but is narrower than the real 230 cm span. Say so on the day, or re-cut the question around the real lemniscate.</t>
  </si>
  <si>
    <t>The Liar Dialogue content was never written. Drafted one with a unique answer (91). Still to decide: whether the speakers' names are hidden so participants must also work out who lies.</t>
  </si>
  <si>
    <t>Knight's Tour: time limit per attempt, and whether the small-board variant scores less than the full tour.</t>
  </si>
  <si>
    <t>Rubik: the two time limits, and whether an intermediate tier is added.</t>
  </si>
  <si>
    <t>Luban Lock Challenge: the time limit for each tier, and whether turning the photo over costs points. The puzzle is now fixed as the six-way lock.</t>
  </si>
  <si>
    <t>All</t>
  </si>
  <si>
    <t>Note</t>
  </si>
  <si>
    <t>The Theme 2 card 'Cipher / Code Breaking' is listed in the Event Flow Plan but has never been written, the deck has 21 puzzle cards where the plan lists 21 titles, one of which is missing and No. 21 is new.</t>
  </si>
  <si>
    <t>New card: the Josephus problem, built from the hand-drawn room layout, nine seats round the edge, 1 at bottom centre, the rest numbered clockwise. Survivor is 3.</t>
  </si>
  <si>
    <t>The polygons were drawn with rounded corners (inherited from the card panel), so their vertices did not visibly sit on lattice points, which is the one thing the card needs you to see. Now sharp, as are the falling-tree and Mondrian figures.</t>
  </si>
  <si>
    <t>The grey note had slipped below the panel and was struck through by the footer rule. Grid shrunk and the note shortened.</t>
  </si>
  <si>
    <t>The same overflow, pre-existing. Grid tightened, and the leftover note to self about a digital version replaced with something a participant can use.</t>
  </si>
  <si>
    <t>Decided</t>
  </si>
  <si>
    <t>Dropped at your request: the three Mathematics Opinion Wall cards (the Canva boards carry their own wording) and COM Take a Chance. The surviving Luban Lock Challenge is renumbered COM 06 -&gt; COM 05.</t>
  </si>
  <si>
    <t>Changed</t>
  </si>
  <si>
    <t>Re-based from Installation 1 to Installation 2, which is the kissing-circle frame itself. The radii are now the real inked circles under the three mirror dodecahedra, so the answer can be checked against the floor.</t>
  </si>
  <si>
    <t>Seats aligned to the four walls: three along the bottom (1 centred), two up the right side, four along the top, evenly spaced on each run.</t>
  </si>
  <si>
    <t>Card furniture: the council seal now sits top left (logo.png, copied from the I.B display cards). The partner-logo slot and the three sponsor slots are gone, and the footer band is cut from 13 mm to 7 mm, which gives every card 6 mm more body height.</t>
  </si>
  <si>
    <t>Guess the Beans dropped at your request; the interactive stations renumber INT 03-06 -&gt; INT 02-05.</t>
  </si>
  <si>
    <t>No QR codes anywhere yet. The live-site QR that was on the interactive cards is removed, so every card prints the blank placeholder. Paste the real link into \QRURL when the form exists.</t>
  </si>
  <si>
    <t>Every card now asks for one definite answer. Reworded for that: No. 05 (distance, 1 dp), No. 06 (part b to 3 dp), No. 09 (numbered lines -&gt; 762), No. 12 (whole %), No. 13 (the two figures), No. 14 (probability, not advice), No. 16 (the lowest possible score), No. 17 (a count, not an open fill), No. 20 (the fraction), COM 01 (fewest soldiers), COM 02 (moves in a full tour).</t>
  </si>
  <si>
    <t>Given a definite answer: the most moves any scramble can need (God's number, 20). The card says to count a half turn as one move, since the quarter-turn answer is 26.</t>
  </si>
  <si>
    <t>Rope / topology puzzles promoted from a passing variant to a tier of their own, each tier with its own answer: 6 pieces for the six-way lock, and No for whether the cord must be untied.</t>
  </si>
  <si>
    <t>Twenty-one cards that were mostly text now carry a simple diagram in the space under the question, a balance scale, three doors, the Hanoi pegs, a letter-frequency chart for the cryptogram, and so on. None of them gives anything away: they draw the setup, not the solution.</t>
  </si>
  <si>
    <t>Figure labels were landing off-centre everywhere: an in-card picture inherits anchor=north west from the body panel, so every unanchored label sat down and to the right of its point. The shared figure style now resets the anchor, which is what the No. 06 caption was showing.</t>
  </si>
  <si>
    <t>Rebuilt as a symmetry question (which words survive a mirror) instead of transcribing mirrored words.</t>
  </si>
  <si>
    <t>Now carries the real top view of Installation 2, with the mirror offcuts recoloured from red to blue, and r1 / r2 / r3 and the gap labelled on the photo itself.</t>
  </si>
  <si>
    <t>Checked</t>
  </si>
  <si>
    <t>Two wrong readings both give 1, which is why the rule is now spelt out across the wrap: restarting the stay/leave alternation at seat 1 on each new lap gives 1, and so does the historical every-THIRD-person version of the legend. The card uses the standard every-second rule, so the answer is 3.</t>
  </si>
  <si>
    <t>Seats as asked: 9 left of 1 and level with it along the bottom, 2 and 3 straddling the bottom-right corner, 4 and 5 the top-right, 6 and 7 side by side across the centre of the top edge, and 8 at the top-left level with 5. The answer is unchanged, Josephus depends on the count and the order, not the geometry.</t>
  </si>
  <si>
    <t>Niulai renamed LY3.</t>
  </si>
  <si>
    <t>All five COM cards carry the line: Bonus points if you follow @xmummath on Instagram.</t>
  </si>
  <si>
    <t>With the wording gone, this card has no answer to record, it is now a display piece plus the Instagram line. The booth itself is still judged by the Rubik Society member.</t>
  </si>
  <si>
    <t>Every question re-read against its answer. Nine were tightened so the answer form is not left to the solver: No. 02 (as a fraction), No. 04 (the grey line was a note to the committee, now a hint), No. 06 (part a as a fraction), No. 15 (one question, not two), No. 21 (to the nearest centimetre), COM 04 (how to count a half turn), No. 06 (part c named), No. 17 ('altogether', not just the rows you filled), No. 18 (the combining rule spelled out in full).</t>
  </si>
  <si>
    <t>Printing: 33 A5 landscape pages. Pages 1-22 are the puzzle cards, 23 the Mystery Chest decode card, 24-28 the interactive stations, 29-33 the committee stations.</t>
  </si>
  <si>
    <t>Whole deck re-rendered and read page by page: no overfull lines, and no card content spilling outside its panel.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</si>
</sst>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b/>
      <sz val="14"/>
      <color rgb="FF063779"/>
      <name val="Arial"/>
    </font>
    <font>
      <i/>
      <sz val="9"/>
      <color rgb="FF666666"/>
      <name val="Arial"/>
    </font>
    <font>
      <b/>
      <sz val="10"/>
      <color rgb="FFFFFFFF"/>
      <name val="Arial"/>
    </font>
    <font>
      <b/>
      <sz val="10"/>
      <name val="Arial"/>
    </font>
    <font>
      <sz val="10"/>
      <name val="Arial"/>
    </font>
    <font>
      <i/>
      <sz val="9"/>
      <color rgb="FF0000FF"/>
      <name val="Arial"/>
    </font>
    <font>
      <sz val="10"/>
      <color rgb="FF0000FF"/>
      <name val="Arial"/>
    </font>
    <font>
      <b/>
      <sz val="12"/>
      <color rgb="FF063779"/>
      <name val="Arial"/>
    </font>
    <font>
      <b/>
      <sz val="14"/>
      <color rgb="FF07489C"/>
      <name val="Arial"/>
    </font>
    <font>
      <b/>
      <sz val="11"/>
      <color rgb="FF063779"/>
      <name val="Arial"/>
    </font>
    <font>
      <b/>
      <sz val="10"/>
      <color rgb="FFC00000"/>
      <name val="Arial"/>
    </font>
    <font>
      <b/>
      <sz val="10"/>
      <color rgb="FF07489C"/>
      <name val="Arial"/>
    </font>
    <font>
      <b/>
      <sz val="10"/>
      <color rgb="FF006100"/>
      <name val="Arial"/>
    </font>
    <font>
      <b/>
      <sz val="10"/>
      <color rgb="FF666666"/>
      <name val="Arial"/>
    </font>
  </fonts>
  <fills count="13">
    <fill>
      <patternFill patternType="none"/>
    </fill>
    <fill>
      <patternFill patternType="gray125"/>
    </fill>
    <fill>
      <patternFill patternType="solid">
        <fgColor rgb="FF063779"/>
      </patternFill>
    </fill>
    <fill>
      <patternFill patternType="solid">
        <fgColor rgb="FFEEF3FA"/>
      </patternFill>
    </fill>
    <fill>
      <patternFill patternType="solid">
        <fgColor rgb="FFC9D8EC"/>
      </patternFill>
    </fill>
    <fill>
      <patternFill patternType="solid">
        <fgColor rgb="FFFFE699"/>
      </patternFill>
    </fill>
    <fill>
      <patternFill patternType="solid">
        <fgColor rgb="FFFDE9D9"/>
      </patternFill>
    </fill>
    <fill>
      <patternFill patternType="solid">
        <fgColor rgb="FFDCE6F1"/>
      </patternFill>
    </fill>
    <fill>
      <patternFill patternType="solid">
        <fgColor rgb="FFE4DFEC"/>
      </patternFill>
    </fill>
    <fill>
      <patternFill patternType="solid">
        <fgColor rgb="FFEBF1DE"/>
      </patternFill>
    </fill>
    <fill>
      <patternFill patternType="solid">
        <fgColor rgb="FFF2DCDB"/>
      </patternFill>
    </fill>
    <fill>
      <patternFill patternType="solid">
        <fgColor rgb="FFFFF2CC"/>
      </patternFill>
    </fill>
    <fill>
      <patternFill patternType="solid">
        <fgColor rgb="FFD9D9D9"/>
      </patternFill>
    </fill>
  </fills>
  <borders count="2">
    <border>
      <left/>
      <right/>
      <top/>
      <bottom/>
      <diagonal/>
    </border>
    <border>
      <left style="thin">
        <color rgb="FFB6C4D9"/>
      </left>
      <right style="thin">
        <color rgb="FFB6C4D9"/>
      </right>
      <top style="thin">
        <color rgb="FFB6C4D9"/>
      </top>
      <bottom style="thin">
        <color rgb="FFB6C4D9"/>
      </bottom>
      <diagonal/>
    </border>
  </borders>
  <cellStyleXfs count="1">
    <xf numFmtId="0" fontId="0" fillId="0" borderId="0"/>
  </cellStyleXfs>
  <cellXfs count="30">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1" xfId="0" applyFont="1" applyBorder="1" applyAlignment="1">
      <alignment vertical="top" wrapText="1"/>
    </xf>
    <xf numFmtId="0" fontId="5" fillId="0" borderId="1" xfId="0" applyFont="1" applyBorder="1" applyAlignment="1">
      <alignment vertical="top" wrapText="1"/>
    </xf>
    <xf numFmtId="0" fontId="4" fillId="3" borderId="1" xfId="0" applyFont="1" applyFill="1" applyBorder="1" applyAlignment="1">
      <alignment vertical="top" wrapText="1"/>
    </xf>
    <xf numFmtId="0" fontId="5" fillId="3" borderId="1" xfId="0" applyFont="1" applyFill="1" applyBorder="1" applyAlignment="1">
      <alignment vertical="top" wrapText="1"/>
    </xf>
    <xf numFmtId="0" fontId="6" fillId="0" borderId="0" xfId="0" applyFont="1"/>
    <xf numFmtId="0" fontId="4" fillId="0" borderId="1" xfId="0" applyFont="1" applyBorder="1"/>
    <xf numFmtId="0" fontId="5" fillId="0" borderId="1" xfId="0" applyFont="1" applyBorder="1"/>
    <xf numFmtId="3" fontId="7" fillId="0" borderId="1" xfId="0" applyNumberFormat="1" applyFont="1" applyBorder="1"/>
    <xf numFmtId="0" fontId="5" fillId="0" borderId="1" xfId="0" applyFont="1" applyBorder="1" applyAlignment="1">
      <alignment horizontal="center" vertical="center"/>
    </xf>
    <xf numFmtId="0" fontId="8" fillId="0" borderId="0" xfId="0" applyFont="1"/>
    <xf numFmtId="0" fontId="9" fillId="4" borderId="1" xfId="0" applyFont="1" applyFill="1" applyBorder="1" applyAlignment="1">
      <alignment horizontal="center" vertical="center"/>
    </xf>
    <xf numFmtId="0" fontId="10" fillId="0" borderId="0" xfId="0" applyFont="1"/>
    <xf numFmtId="0" fontId="4" fillId="0" borderId="1" xfId="0" applyFont="1" applyBorder="1" applyAlignment="1">
      <alignment horizontal="center" vertical="center"/>
    </xf>
    <xf numFmtId="0" fontId="4"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5" fillId="6" borderId="1" xfId="0" applyFont="1" applyFill="1" applyBorder="1" applyAlignment="1">
      <alignment horizontal="center" vertical="center"/>
    </xf>
    <xf numFmtId="0" fontId="5" fillId="7" borderId="1" xfId="0" applyFont="1" applyFill="1" applyBorder="1" applyAlignment="1">
      <alignment horizontal="center" vertical="center"/>
    </xf>
    <xf numFmtId="0" fontId="5" fillId="8" borderId="1" xfId="0" applyFont="1" applyFill="1" applyBorder="1" applyAlignment="1">
      <alignment horizontal="center" vertical="center"/>
    </xf>
    <xf numFmtId="0" fontId="5" fillId="9" borderId="1" xfId="0" applyFont="1" applyFill="1" applyBorder="1" applyAlignment="1">
      <alignment horizontal="center" vertical="center"/>
    </xf>
    <xf numFmtId="0" fontId="5" fillId="10" borderId="1" xfId="0" applyFont="1" applyFill="1" applyBorder="1" applyAlignment="1">
      <alignment horizontal="center" vertical="center"/>
    </xf>
    <xf numFmtId="0" fontId="5" fillId="11" borderId="1" xfId="0" applyFont="1" applyFill="1" applyBorder="1" applyAlignment="1">
      <alignment horizontal="center" vertical="center"/>
    </xf>
    <xf numFmtId="0" fontId="5" fillId="12" borderId="1" xfId="0" applyFont="1" applyFill="1" applyBorder="1" applyAlignment="1">
      <alignment horizontal="center" vertical="center"/>
    </xf>
    <xf numFmtId="0" fontId="11" fillId="0" borderId="1" xfId="0" applyFont="1" applyBorder="1" applyAlignment="1">
      <alignment vertical="top" wrapText="1"/>
    </xf>
    <xf numFmtId="0" fontId="12" fillId="0" borderId="1" xfId="0" applyFont="1" applyBorder="1" applyAlignment="1">
      <alignment vertical="top" wrapText="1"/>
    </xf>
    <xf numFmtId="0" fontId="13" fillId="0" borderId="1" xfId="0" applyFont="1" applyBorder="1" applyAlignment="1">
      <alignment vertical="top" wrapText="1"/>
    </xf>
    <xf numFmtId="0" fontId="14"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6"/>
  <sheetViews>
    <sheetView tabSelected="1" workbookViewId="0">
      <pane ySplit="4" topLeftCell="A5" activePane="bottomLeft" state="frozen"/>
      <selection pane="bottomLeft"/>
    </sheetView>
  </sheetViews>
  <sheetFormatPr defaultRowHeight="15"/>
  <cols>
    <col min="1" max="1" width="10" customWidth="1"/>
    <col min="2" max="2" width="20" customWidth="1"/>
    <col min="3" max="3" width="9" customWidth="1"/>
    <col min="4" max="4" width="30" customWidth="1"/>
    <col min="5" max="5" width="40" customWidth="1"/>
    <col min="6" max="6" width="62" customWidth="1"/>
    <col min="7" max="7" width="34" customWidth="1"/>
  </cols>
  <sheetData>
    <row r="1" spans="1:7">
      <c r="A1" s="1" t="s">
        <v>0</v>
      </c>
    </row>
    <row r="2" spans="1:7">
      <c r="A2" s="2" t="s">
        <v>1</v>
      </c>
    </row>
    <row r="4" spans="1:7">
      <c r="A4" s="3" t="s">
        <v>2</v>
      </c>
      <c r="B4" s="3" t="s">
        <v>3</v>
      </c>
      <c r="C4" s="3" t="s">
        <v>4</v>
      </c>
      <c r="D4" s="3" t="s">
        <v>5</v>
      </c>
      <c r="E4" s="3" t="s">
        <v>6</v>
      </c>
      <c r="F4" s="3" t="s">
        <v>7</v>
      </c>
      <c r="G4" s="3" t="s">
        <v>8</v>
      </c>
    </row>
    <row r="5" spans="1:7" ht="45.95" customHeight="1">
      <c r="A5" s="4" t="s">
        <v>9</v>
      </c>
      <c r="B5" s="5" t="s">
        <v>10</v>
      </c>
      <c r="C5" s="5" t="s">
        <v>11</v>
      </c>
      <c r="D5" s="5" t="s">
        <v>12</v>
      </c>
      <c r="E5" s="5" t="s">
        <v>13</v>
      </c>
      <c r="F5" s="5" t="s">
        <v>14</v>
      </c>
      <c r="G5" s="5" t="s">
        <v>15</v>
      </c>
    </row>
    <row r="6" spans="1:7" ht="45.95" customHeight="1">
      <c r="A6" s="4" t="s">
        <v>16</v>
      </c>
      <c r="B6" s="5" t="s">
        <v>10</v>
      </c>
      <c r="C6" s="5" t="s">
        <v>11</v>
      </c>
      <c r="D6" s="5" t="s">
        <v>17</v>
      </c>
      <c r="E6" s="5" t="s">
        <v>18</v>
      </c>
      <c r="F6" s="5" t="s">
        <v>19</v>
      </c>
      <c r="G6" s="5" t="s">
        <v>20</v>
      </c>
    </row>
    <row r="7" spans="1:7" ht="45.95" customHeight="1">
      <c r="A7" s="4" t="s">
        <v>21</v>
      </c>
      <c r="B7" s="5" t="s">
        <v>10</v>
      </c>
      <c r="C7" s="5" t="s">
        <v>11</v>
      </c>
      <c r="D7" s="5" t="s">
        <v>22</v>
      </c>
      <c r="E7" s="5" t="s">
        <v>23</v>
      </c>
      <c r="F7" s="5" t="s">
        <v>24</v>
      </c>
      <c r="G7" s="5" t="s">
        <v>25</v>
      </c>
    </row>
    <row r="8" spans="1:7" ht="45.95" customHeight="1">
      <c r="A8" s="4" t="s">
        <v>26</v>
      </c>
      <c r="B8" s="5" t="s">
        <v>10</v>
      </c>
      <c r="C8" s="5" t="s">
        <v>23</v>
      </c>
      <c r="D8" s="5" t="s">
        <v>27</v>
      </c>
      <c r="E8" s="5" t="s">
        <v>28</v>
      </c>
      <c r="F8" s="5" t="s">
        <v>29</v>
      </c>
      <c r="G8" s="5" t="s">
        <v>30</v>
      </c>
    </row>
    <row r="9" spans="1:7" ht="45.95" customHeight="1">
      <c r="A9" s="4" t="s">
        <v>31</v>
      </c>
      <c r="B9" s="5" t="s">
        <v>10</v>
      </c>
      <c r="C9" s="5" t="s">
        <v>23</v>
      </c>
      <c r="D9" s="5" t="s">
        <v>32</v>
      </c>
      <c r="E9" s="5" t="s">
        <v>33</v>
      </c>
      <c r="F9" s="5" t="s">
        <v>34</v>
      </c>
      <c r="G9" s="5" t="s">
        <v>35</v>
      </c>
    </row>
    <row r="10" spans="1:7" ht="63.95" customHeight="1">
      <c r="A10" s="4" t="s">
        <v>36</v>
      </c>
      <c r="B10" s="5" t="s">
        <v>10</v>
      </c>
      <c r="C10" s="5" t="s">
        <v>23</v>
      </c>
      <c r="D10" s="5" t="s">
        <v>37</v>
      </c>
      <c r="E10" s="5" t="s">
        <v>38</v>
      </c>
      <c r="F10" s="5" t="s">
        <v>39</v>
      </c>
      <c r="G10" s="5" t="s">
        <v>40</v>
      </c>
    </row>
    <row r="11" spans="1:7" ht="63.95" customHeight="1">
      <c r="A11" s="4" t="s">
        <v>41</v>
      </c>
      <c r="B11" s="5" t="s">
        <v>10</v>
      </c>
      <c r="C11" s="5" t="s">
        <v>42</v>
      </c>
      <c r="D11" s="5" t="s">
        <v>43</v>
      </c>
      <c r="E11" s="5" t="s">
        <v>44</v>
      </c>
      <c r="F11" s="5" t="s">
        <v>45</v>
      </c>
      <c r="G11" s="5" t="s">
        <v>46</v>
      </c>
    </row>
    <row r="12" spans="1:7" ht="63.95" customHeight="1">
      <c r="A12" s="4" t="s">
        <v>47</v>
      </c>
      <c r="B12" s="5" t="s">
        <v>10</v>
      </c>
      <c r="C12" s="5" t="s">
        <v>23</v>
      </c>
      <c r="D12" s="5" t="s">
        <v>48</v>
      </c>
      <c r="E12" s="5" t="s">
        <v>49</v>
      </c>
      <c r="F12" s="5" t="s">
        <v>50</v>
      </c>
      <c r="G12" s="5" t="s">
        <v>51</v>
      </c>
    </row>
    <row r="13" spans="1:7" ht="63.95" customHeight="1">
      <c r="A13" s="4" t="s">
        <v>52</v>
      </c>
      <c r="B13" s="5" t="s">
        <v>10</v>
      </c>
      <c r="C13" s="5" t="s">
        <v>23</v>
      </c>
      <c r="D13" s="5" t="s">
        <v>53</v>
      </c>
      <c r="E13" s="5" t="s">
        <v>54</v>
      </c>
      <c r="F13" s="5" t="s">
        <v>55</v>
      </c>
      <c r="G13" s="5" t="s">
        <v>56</v>
      </c>
    </row>
    <row r="14" spans="1:7" ht="63.95" customHeight="1">
      <c r="A14" s="4" t="s">
        <v>57</v>
      </c>
      <c r="B14" s="5" t="s">
        <v>10</v>
      </c>
      <c r="C14" s="5" t="s">
        <v>11</v>
      </c>
      <c r="D14" s="5" t="s">
        <v>58</v>
      </c>
      <c r="E14" s="5" t="s">
        <v>42</v>
      </c>
      <c r="F14" s="5" t="s">
        <v>59</v>
      </c>
      <c r="G14" s="5" t="s">
        <v>60</v>
      </c>
    </row>
    <row r="15" spans="1:7" ht="45.95" customHeight="1">
      <c r="A15" s="4" t="s">
        <v>61</v>
      </c>
      <c r="B15" s="5" t="s">
        <v>10</v>
      </c>
      <c r="C15" s="5" t="s">
        <v>42</v>
      </c>
      <c r="D15" s="5" t="s">
        <v>62</v>
      </c>
      <c r="E15" s="5" t="s">
        <v>63</v>
      </c>
      <c r="F15" s="5" t="s">
        <v>64</v>
      </c>
      <c r="G15" s="5" t="s">
        <v>65</v>
      </c>
    </row>
    <row r="16" spans="1:7" ht="63.95" customHeight="1">
      <c r="A16" s="4" t="s">
        <v>66</v>
      </c>
      <c r="B16" s="5" t="s">
        <v>10</v>
      </c>
      <c r="C16" s="5" t="s">
        <v>67</v>
      </c>
      <c r="D16" s="5" t="s">
        <v>68</v>
      </c>
      <c r="E16" s="5" t="s">
        <v>69</v>
      </c>
      <c r="F16" s="5" t="s">
        <v>70</v>
      </c>
      <c r="G16" s="5" t="s">
        <v>71</v>
      </c>
    </row>
    <row r="17" spans="1:7" ht="45.95" customHeight="1">
      <c r="A17" s="4" t="s">
        <v>72</v>
      </c>
      <c r="B17" s="5" t="s">
        <v>10</v>
      </c>
      <c r="C17" s="5" t="s">
        <v>67</v>
      </c>
      <c r="D17" s="5" t="s">
        <v>73</v>
      </c>
      <c r="E17" s="5" t="s">
        <v>74</v>
      </c>
      <c r="F17" s="5" t="s">
        <v>75</v>
      </c>
      <c r="G17" s="5" t="s">
        <v>76</v>
      </c>
    </row>
    <row r="18" spans="1:7" ht="63.95" customHeight="1">
      <c r="A18" s="4" t="s">
        <v>77</v>
      </c>
      <c r="B18" s="5" t="s">
        <v>10</v>
      </c>
      <c r="C18" s="5" t="s">
        <v>42</v>
      </c>
      <c r="D18" s="5" t="s">
        <v>78</v>
      </c>
      <c r="E18" s="5" t="s">
        <v>79</v>
      </c>
      <c r="F18" s="5" t="s">
        <v>80</v>
      </c>
      <c r="G18" s="5" t="s">
        <v>81</v>
      </c>
    </row>
    <row r="19" spans="1:7" ht="45.95" customHeight="1">
      <c r="A19" s="4" t="s">
        <v>82</v>
      </c>
      <c r="B19" s="5" t="s">
        <v>10</v>
      </c>
      <c r="C19" s="5" t="s">
        <v>67</v>
      </c>
      <c r="D19" s="5" t="s">
        <v>83</v>
      </c>
      <c r="E19" s="5" t="s">
        <v>42</v>
      </c>
      <c r="F19" s="5" t="s">
        <v>84</v>
      </c>
      <c r="G19" s="5" t="s">
        <v>85</v>
      </c>
    </row>
    <row r="20" spans="1:7" ht="45.95" customHeight="1">
      <c r="A20" s="4" t="s">
        <v>86</v>
      </c>
      <c r="B20" s="5" t="s">
        <v>10</v>
      </c>
      <c r="C20" s="5" t="s">
        <v>42</v>
      </c>
      <c r="D20" s="5" t="s">
        <v>87</v>
      </c>
      <c r="E20" s="5" t="s">
        <v>88</v>
      </c>
      <c r="F20" s="5" t="s">
        <v>89</v>
      </c>
      <c r="G20" s="5" t="s">
        <v>90</v>
      </c>
    </row>
    <row r="21" spans="1:7" ht="63.95" customHeight="1">
      <c r="A21" s="4" t="s">
        <v>91</v>
      </c>
      <c r="B21" s="5" t="s">
        <v>10</v>
      </c>
      <c r="C21" s="5" t="s">
        <v>67</v>
      </c>
      <c r="D21" s="5" t="s">
        <v>92</v>
      </c>
      <c r="E21" s="5" t="s">
        <v>93</v>
      </c>
      <c r="F21" s="5" t="s">
        <v>94</v>
      </c>
      <c r="G21" s="5" t="s">
        <v>95</v>
      </c>
    </row>
    <row r="22" spans="1:7" ht="45.95" customHeight="1">
      <c r="A22" s="4" t="s">
        <v>96</v>
      </c>
      <c r="B22" s="5" t="s">
        <v>10</v>
      </c>
      <c r="C22" s="5" t="s">
        <v>67</v>
      </c>
      <c r="D22" s="5" t="s">
        <v>97</v>
      </c>
      <c r="E22" s="5" t="s">
        <v>98</v>
      </c>
      <c r="F22" s="5" t="s">
        <v>99</v>
      </c>
      <c r="G22" s="5" t="s">
        <v>100</v>
      </c>
    </row>
    <row r="23" spans="1:7" ht="63.95" customHeight="1">
      <c r="A23" s="4" t="s">
        <v>101</v>
      </c>
      <c r="B23" s="5" t="s">
        <v>10</v>
      </c>
      <c r="C23" s="5" t="s">
        <v>42</v>
      </c>
      <c r="D23" s="5" t="s">
        <v>102</v>
      </c>
      <c r="E23" s="5" t="s">
        <v>103</v>
      </c>
      <c r="F23" s="5" t="s">
        <v>104</v>
      </c>
      <c r="G23" s="5" t="s">
        <v>105</v>
      </c>
    </row>
    <row r="24" spans="1:7" ht="45.95" customHeight="1">
      <c r="A24" s="4" t="s">
        <v>106</v>
      </c>
      <c r="B24" s="5" t="s">
        <v>10</v>
      </c>
      <c r="C24" s="5" t="s">
        <v>11</v>
      </c>
      <c r="D24" s="5" t="s">
        <v>107</v>
      </c>
      <c r="E24" s="5" t="s">
        <v>108</v>
      </c>
      <c r="F24" s="5" t="s">
        <v>109</v>
      </c>
      <c r="G24" s="5" t="s">
        <v>110</v>
      </c>
    </row>
    <row r="25" spans="1:7" ht="63.95" customHeight="1">
      <c r="A25" s="4" t="s">
        <v>111</v>
      </c>
      <c r="B25" s="5" t="s">
        <v>10</v>
      </c>
      <c r="C25" s="5" t="s">
        <v>23</v>
      </c>
      <c r="D25" s="5" t="s">
        <v>112</v>
      </c>
      <c r="E25" s="5" t="s">
        <v>113</v>
      </c>
      <c r="F25" s="5" t="s">
        <v>114</v>
      </c>
      <c r="G25" s="5" t="s">
        <v>115</v>
      </c>
    </row>
    <row r="26" spans="1:7" ht="63.95" customHeight="1">
      <c r="A26" s="4" t="s">
        <v>116</v>
      </c>
      <c r="B26" s="5" t="s">
        <v>10</v>
      </c>
      <c r="C26" s="5" t="s">
        <v>11</v>
      </c>
      <c r="D26" s="5" t="s">
        <v>117</v>
      </c>
      <c r="E26" s="5" t="s">
        <v>42</v>
      </c>
      <c r="F26" s="5" t="s">
        <v>118</v>
      </c>
      <c r="G26" s="5" t="s">
        <v>119</v>
      </c>
    </row>
    <row r="27" spans="1:7" ht="45.95" customHeight="1">
      <c r="A27" s="4" t="s">
        <v>120</v>
      </c>
      <c r="B27" s="5" t="s">
        <v>10</v>
      </c>
      <c r="C27" s="5" t="s">
        <v>121</v>
      </c>
      <c r="D27" s="5" t="s">
        <v>122</v>
      </c>
      <c r="E27" s="5" t="s">
        <v>123</v>
      </c>
      <c r="F27" s="5" t="s">
        <v>124</v>
      </c>
      <c r="G27" s="5" t="s">
        <v>125</v>
      </c>
    </row>
    <row r="28" spans="1:7" ht="45.95" customHeight="1">
      <c r="A28" s="4" t="s">
        <v>126</v>
      </c>
      <c r="B28" s="5" t="s">
        <v>127</v>
      </c>
      <c r="C28" s="5" t="s">
        <v>11</v>
      </c>
      <c r="D28" s="5" t="s">
        <v>128</v>
      </c>
      <c r="E28" s="5" t="s">
        <v>129</v>
      </c>
      <c r="F28" s="5" t="s">
        <v>130</v>
      </c>
      <c r="G28" s="5" t="s">
        <v>131</v>
      </c>
    </row>
    <row r="29" spans="1:7" ht="63.95" customHeight="1">
      <c r="A29" s="4" t="s">
        <v>132</v>
      </c>
      <c r="B29" s="5" t="s">
        <v>127</v>
      </c>
      <c r="C29" s="5" t="s">
        <v>67</v>
      </c>
      <c r="D29" s="5" t="s">
        <v>133</v>
      </c>
      <c r="E29" s="5" t="s">
        <v>134</v>
      </c>
      <c r="F29" s="5" t="s">
        <v>135</v>
      </c>
      <c r="G29" s="5" t="s">
        <v>136</v>
      </c>
    </row>
    <row r="30" spans="1:7" ht="63.95" customHeight="1">
      <c r="A30" s="4" t="s">
        <v>137</v>
      </c>
      <c r="B30" s="5" t="s">
        <v>127</v>
      </c>
      <c r="C30" s="5" t="s">
        <v>42</v>
      </c>
      <c r="D30" s="5" t="s">
        <v>138</v>
      </c>
      <c r="E30" s="5" t="s">
        <v>139</v>
      </c>
      <c r="F30" s="5" t="s">
        <v>140</v>
      </c>
      <c r="G30" s="5" t="s">
        <v>141</v>
      </c>
    </row>
    <row r="31" spans="1:7" ht="63.95" customHeight="1">
      <c r="A31" s="4" t="s">
        <v>142</v>
      </c>
      <c r="B31" s="5" t="s">
        <v>127</v>
      </c>
      <c r="C31" s="5" t="s">
        <v>23</v>
      </c>
      <c r="D31" s="5" t="s">
        <v>143</v>
      </c>
      <c r="E31" s="5" t="s">
        <v>144</v>
      </c>
      <c r="F31" s="5" t="s">
        <v>145</v>
      </c>
      <c r="G31" s="5" t="s">
        <v>146</v>
      </c>
    </row>
    <row r="32" spans="1:7" ht="63.95" customHeight="1">
      <c r="A32" s="6" t="s">
        <v>147</v>
      </c>
      <c r="B32" s="7" t="s">
        <v>148</v>
      </c>
      <c r="C32" s="7" t="s">
        <v>11</v>
      </c>
      <c r="D32" s="7" t="s">
        <v>149</v>
      </c>
      <c r="E32" s="7" t="s">
        <v>150</v>
      </c>
      <c r="F32" s="7" t="s">
        <v>151</v>
      </c>
      <c r="G32" s="7" t="s">
        <v>152</v>
      </c>
    </row>
    <row r="33" spans="1:7" ht="63.95" customHeight="1">
      <c r="A33" s="6" t="s">
        <v>153</v>
      </c>
      <c r="B33" s="7" t="s">
        <v>148</v>
      </c>
      <c r="C33" s="7" t="s">
        <v>67</v>
      </c>
      <c r="D33" s="7" t="s">
        <v>154</v>
      </c>
      <c r="E33" s="7" t="s">
        <v>155</v>
      </c>
      <c r="F33" s="7" t="s">
        <v>156</v>
      </c>
      <c r="G33" s="7" t="s">
        <v>157</v>
      </c>
    </row>
    <row r="34" spans="1:7" ht="63.95" customHeight="1">
      <c r="A34" s="6" t="s">
        <v>158</v>
      </c>
      <c r="B34" s="7" t="s">
        <v>148</v>
      </c>
      <c r="C34" s="7" t="s">
        <v>42</v>
      </c>
      <c r="D34" s="7" t="s">
        <v>159</v>
      </c>
      <c r="E34" s="7" t="s">
        <v>160</v>
      </c>
      <c r="F34" s="7" t="s">
        <v>161</v>
      </c>
      <c r="G34" s="7" t="s">
        <v>162</v>
      </c>
    </row>
    <row r="35" spans="1:7" ht="63.95" customHeight="1">
      <c r="A35" s="6" t="s">
        <v>163</v>
      </c>
      <c r="B35" s="7" t="s">
        <v>148</v>
      </c>
      <c r="C35" s="7" t="s">
        <v>23</v>
      </c>
      <c r="D35" s="7" t="s">
        <v>164</v>
      </c>
      <c r="E35" s="7" t="s">
        <v>165</v>
      </c>
      <c r="F35" s="7" t="s">
        <v>166</v>
      </c>
      <c r="G35" s="7" t="s">
        <v>167</v>
      </c>
    </row>
    <row r="36" spans="1:7" ht="63.95" customHeight="1">
      <c r="A36" s="6" t="s">
        <v>168</v>
      </c>
      <c r="B36" s="7" t="s">
        <v>148</v>
      </c>
      <c r="C36" s="7" t="s">
        <v>23</v>
      </c>
      <c r="D36" s="7" t="s">
        <v>169</v>
      </c>
      <c r="E36" s="7" t="s">
        <v>170</v>
      </c>
      <c r="F36" s="7" t="s">
        <v>171</v>
      </c>
      <c r="G36" s="7" t="s">
        <v>172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3"/>
  <sheetViews>
    <sheetView workbookViewId="0"/>
  </sheetViews>
  <sheetFormatPr defaultRowHeight="15"/>
  <cols>
    <col min="1" max="2" width="10" customWidth="1"/>
    <col min="3" max="3" width="46" customWidth="1"/>
    <col min="4" max="4" width="30" customWidth="1"/>
  </cols>
  <sheetData>
    <row r="1" spans="1:4">
      <c r="A1" s="1" t="s">
        <v>173</v>
      </c>
    </row>
    <row r="2" spans="1:4">
      <c r="A2" s="2" t="s">
        <v>174</v>
      </c>
    </row>
    <row r="3" spans="1:4">
      <c r="A3" s="8" t="s">
        <v>175</v>
      </c>
    </row>
    <row r="5" spans="1:4">
      <c r="A5" s="3" t="s">
        <v>176</v>
      </c>
      <c r="B5" s="3" t="s">
        <v>2</v>
      </c>
      <c r="C5" s="3" t="s">
        <v>177</v>
      </c>
      <c r="D5" s="3" t="s">
        <v>6</v>
      </c>
    </row>
    <row r="6" spans="1:4">
      <c r="A6" s="9" t="s">
        <v>178</v>
      </c>
      <c r="B6" s="10" t="s">
        <v>26</v>
      </c>
      <c r="C6" s="10" t="s">
        <v>179</v>
      </c>
      <c r="D6" s="11">
        <v>20</v>
      </c>
    </row>
    <row r="7" spans="1:4">
      <c r="A7" s="9" t="s">
        <v>180</v>
      </c>
      <c r="B7" s="10" t="s">
        <v>36</v>
      </c>
      <c r="C7" s="10" t="s">
        <v>181</v>
      </c>
      <c r="D7" s="11">
        <v>4</v>
      </c>
    </row>
    <row r="8" spans="1:4">
      <c r="A8" s="9" t="s">
        <v>182</v>
      </c>
      <c r="B8" s="10" t="s">
        <v>47</v>
      </c>
      <c r="C8" s="10" t="s">
        <v>183</v>
      </c>
      <c r="D8" s="11">
        <v>50</v>
      </c>
    </row>
    <row r="9" spans="1:4">
      <c r="A9" s="9" t="s">
        <v>184</v>
      </c>
      <c r="B9" s="10" t="s">
        <v>61</v>
      </c>
      <c r="C9" s="10" t="s">
        <v>62</v>
      </c>
      <c r="D9" s="11">
        <v>456976</v>
      </c>
    </row>
    <row r="10" spans="1:4">
      <c r="A10" s="9" t="s">
        <v>185</v>
      </c>
      <c r="B10" s="10" t="s">
        <v>66</v>
      </c>
      <c r="C10" s="10" t="s">
        <v>186</v>
      </c>
      <c r="D10" s="11">
        <v>99</v>
      </c>
    </row>
    <row r="11" spans="1:4">
      <c r="A11" s="9" t="s">
        <v>187</v>
      </c>
      <c r="B11" s="10" t="s">
        <v>72</v>
      </c>
      <c r="C11" s="10" t="s">
        <v>188</v>
      </c>
      <c r="D11" s="11">
        <v>1254000</v>
      </c>
    </row>
    <row r="12" spans="1:4">
      <c r="A12" s="9" t="s">
        <v>189</v>
      </c>
      <c r="B12" s="10" t="s">
        <v>82</v>
      </c>
      <c r="C12" s="10" t="s">
        <v>190</v>
      </c>
      <c r="D12" s="11">
        <v>3</v>
      </c>
    </row>
    <row r="15" spans="1:4">
      <c r="A15" s="3" t="s">
        <v>191</v>
      </c>
      <c r="B15" s="3" t="s">
        <v>192</v>
      </c>
      <c r="C15" s="3" t="s">
        <v>193</v>
      </c>
    </row>
    <row r="16" spans="1:4">
      <c r="A16" s="9" t="s">
        <v>194</v>
      </c>
      <c r="B16" s="10" t="s">
        <v>195</v>
      </c>
      <c r="C16" s="12" t="str">
        <f>MOD(D6+D7,10)</f>
        <v/>
      </c>
    </row>
    <row r="17" spans="1:4">
      <c r="A17" s="9" t="s">
        <v>196</v>
      </c>
      <c r="B17" s="10" t="s">
        <v>197</v>
      </c>
      <c r="C17" s="12" t="str">
        <f>MOD(D8+D9,10)</f>
        <v/>
      </c>
    </row>
    <row r="18" spans="1:4">
      <c r="A18" s="9" t="s">
        <v>198</v>
      </c>
      <c r="B18" s="10" t="s">
        <v>199</v>
      </c>
      <c r="C18" s="12" t="str">
        <f>MOD(D10+D11,10)</f>
        <v/>
      </c>
    </row>
    <row r="19" spans="1:4">
      <c r="A19" s="9" t="s">
        <v>200</v>
      </c>
      <c r="B19" s="10" t="s">
        <v>201</v>
      </c>
      <c r="C19" s="12" t="str">
        <f>MOD(D12,10)</f>
        <v/>
      </c>
    </row>
    <row r="21" spans="1:4">
      <c r="A21" s="13" t="s">
        <v>202</v>
      </c>
      <c r="C21" s="14" t="str">
        <f>C16&amp;C17&amp;C18&amp;C19</f>
        <v/>
      </c>
      <c r="D21" s="2" t="s">
        <v>203</v>
      </c>
    </row>
    <row r="23" spans="1:4">
      <c r="A23" s="2"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0"/>
  <sheetViews>
    <sheetView workbookViewId="0"/>
  </sheetViews>
  <sheetFormatPr defaultRowHeight="15"/>
  <cols>
    <col min="1" max="11" width="6" customWidth="1"/>
  </cols>
  <sheetData>
    <row r="1" spans="1:11">
      <c r="A1" s="1" t="s">
        <v>205</v>
      </c>
    </row>
    <row r="2" spans="1:11">
      <c r="A2" s="2" t="s">
        <v>206</v>
      </c>
    </row>
    <row r="4" spans="1:11">
      <c r="A4" s="15" t="s">
        <v>207</v>
      </c>
    </row>
    <row r="5" spans="1:11">
      <c r="A5" s="16"/>
      <c r="B5" s="16"/>
      <c r="C5" s="16"/>
      <c r="D5" s="16"/>
      <c r="E5" s="16"/>
      <c r="F5" s="16"/>
      <c r="G5" s="16"/>
      <c r="H5" s="16"/>
      <c r="I5" s="16"/>
      <c r="J5" s="16"/>
      <c r="K5" s="16"/>
    </row>
    <row r="6" spans="1:11">
      <c r="A6" s="16"/>
      <c r="B6" s="16"/>
      <c r="C6" s="16"/>
      <c r="D6" s="16"/>
      <c r="E6" s="16"/>
      <c r="F6" s="17" t="s">
        <v>208</v>
      </c>
      <c r="G6" s="18" t="s">
        <v>209</v>
      </c>
      <c r="H6" s="16"/>
      <c r="I6" s="16"/>
      <c r="J6" s="16"/>
      <c r="K6" s="16"/>
    </row>
    <row r="7" spans="1:11">
      <c r="A7" s="16"/>
      <c r="B7" s="16"/>
      <c r="C7" s="18" t="s">
        <v>209</v>
      </c>
      <c r="D7" s="16"/>
      <c r="E7" s="16"/>
      <c r="F7" s="17" t="s">
        <v>208</v>
      </c>
      <c r="G7" s="17" t="s">
        <v>210</v>
      </c>
      <c r="H7" s="17" t="s">
        <v>210</v>
      </c>
      <c r="I7" s="17" t="s">
        <v>210</v>
      </c>
      <c r="J7" s="18" t="s">
        <v>209</v>
      </c>
      <c r="K7" s="16"/>
    </row>
    <row r="8" spans="1:11">
      <c r="A8" s="16"/>
      <c r="B8" s="16"/>
      <c r="C8" s="16"/>
      <c r="D8" s="18" t="s">
        <v>209</v>
      </c>
      <c r="E8" s="17" t="s">
        <v>208</v>
      </c>
      <c r="F8" s="17" t="s">
        <v>208</v>
      </c>
      <c r="G8" s="17" t="s">
        <v>210</v>
      </c>
      <c r="H8" s="16"/>
      <c r="I8" s="16"/>
      <c r="J8" s="16"/>
      <c r="K8" s="16"/>
    </row>
    <row r="9" spans="1:11">
      <c r="A9" s="16"/>
      <c r="B9" s="16"/>
      <c r="C9" s="16"/>
      <c r="D9" s="16"/>
      <c r="E9" s="16"/>
      <c r="F9" s="17" t="s">
        <v>208</v>
      </c>
      <c r="G9" s="16"/>
      <c r="H9" s="16"/>
      <c r="I9" s="18" t="s">
        <v>209</v>
      </c>
      <c r="J9" s="16"/>
      <c r="K9" s="16"/>
    </row>
    <row r="11" spans="1:11">
      <c r="A11" s="15" t="s">
        <v>211</v>
      </c>
    </row>
    <row r="12" spans="1:11">
      <c r="A12" s="12" t="s">
        <v>212</v>
      </c>
      <c r="B12" s="12" t="s">
        <v>212</v>
      </c>
      <c r="C12" s="12" t="s">
        <v>213</v>
      </c>
      <c r="D12" s="12" t="s">
        <v>214</v>
      </c>
      <c r="E12" s="12" t="s">
        <v>214</v>
      </c>
      <c r="F12" s="12" t="s">
        <v>214</v>
      </c>
      <c r="G12" s="12" t="s">
        <v>214</v>
      </c>
      <c r="H12" s="12" t="s">
        <v>215</v>
      </c>
      <c r="I12" s="12" t="s">
        <v>215</v>
      </c>
      <c r="J12" s="12" t="s">
        <v>216</v>
      </c>
      <c r="K12" s="12" t="s">
        <v>216</v>
      </c>
    </row>
    <row r="13" spans="1:11">
      <c r="A13" s="12" t="s">
        <v>212</v>
      </c>
      <c r="B13" s="12" t="s">
        <v>213</v>
      </c>
      <c r="C13" s="12" t="s">
        <v>213</v>
      </c>
      <c r="D13" s="12" t="s">
        <v>213</v>
      </c>
      <c r="E13" s="12" t="s">
        <v>217</v>
      </c>
      <c r="F13" s="12" t="s">
        <v>208</v>
      </c>
      <c r="G13" s="18" t="s">
        <v>214</v>
      </c>
      <c r="H13" s="12" t="s">
        <v>215</v>
      </c>
      <c r="I13" s="12" t="s">
        <v>215</v>
      </c>
      <c r="J13" s="12" t="s">
        <v>216</v>
      </c>
      <c r="K13" s="12" t="s">
        <v>216</v>
      </c>
    </row>
    <row r="14" spans="1:11">
      <c r="A14" s="12" t="s">
        <v>212</v>
      </c>
      <c r="B14" s="12" t="s">
        <v>212</v>
      </c>
      <c r="C14" s="18" t="s">
        <v>213</v>
      </c>
      <c r="D14" s="12" t="s">
        <v>217</v>
      </c>
      <c r="E14" s="12" t="s">
        <v>217</v>
      </c>
      <c r="F14" s="12" t="s">
        <v>208</v>
      </c>
      <c r="G14" s="12" t="s">
        <v>210</v>
      </c>
      <c r="H14" s="12" t="s">
        <v>210</v>
      </c>
      <c r="I14" s="12" t="s">
        <v>210</v>
      </c>
      <c r="J14" s="18" t="s">
        <v>216</v>
      </c>
      <c r="K14" s="12" t="s">
        <v>218</v>
      </c>
    </row>
    <row r="15" spans="1:11">
      <c r="A15" s="12" t="s">
        <v>219</v>
      </c>
      <c r="B15" s="12" t="s">
        <v>219</v>
      </c>
      <c r="C15" s="12" t="s">
        <v>217</v>
      </c>
      <c r="D15" s="18" t="s">
        <v>217</v>
      </c>
      <c r="E15" s="12" t="s">
        <v>208</v>
      </c>
      <c r="F15" s="12" t="s">
        <v>208</v>
      </c>
      <c r="G15" s="12" t="s">
        <v>210</v>
      </c>
      <c r="H15" s="12" t="s">
        <v>220</v>
      </c>
      <c r="I15" s="12" t="s">
        <v>220</v>
      </c>
      <c r="J15" s="12" t="s">
        <v>220</v>
      </c>
      <c r="K15" s="12" t="s">
        <v>218</v>
      </c>
    </row>
    <row r="16" spans="1:11">
      <c r="A16" s="12" t="s">
        <v>219</v>
      </c>
      <c r="B16" s="12" t="s">
        <v>221</v>
      </c>
      <c r="C16" s="12" t="s">
        <v>221</v>
      </c>
      <c r="D16" s="12" t="s">
        <v>221</v>
      </c>
      <c r="E16" s="12" t="s">
        <v>221</v>
      </c>
      <c r="F16" s="12" t="s">
        <v>208</v>
      </c>
      <c r="G16" s="12" t="s">
        <v>220</v>
      </c>
      <c r="H16" s="12" t="s">
        <v>220</v>
      </c>
      <c r="I16" s="18" t="s">
        <v>218</v>
      </c>
      <c r="J16" s="12" t="s">
        <v>218</v>
      </c>
      <c r="K16" s="12" t="s">
        <v>218</v>
      </c>
    </row>
    <row r="18" spans="1:6">
      <c r="A18" s="13" t="s">
        <v>222</v>
      </c>
      <c r="C18" s="14" t="s">
        <v>129</v>
      </c>
    </row>
    <row r="19" spans="1:6">
      <c r="A19" s="2" t="s">
        <v>223</v>
      </c>
    </row>
    <row r="22" spans="1:6">
      <c r="A22" s="15" t="s">
        <v>224</v>
      </c>
    </row>
    <row r="23" spans="1:6">
      <c r="A23" s="19" t="s">
        <v>225</v>
      </c>
      <c r="B23" s="20" t="s">
        <v>226</v>
      </c>
      <c r="C23" s="20" t="s">
        <v>226</v>
      </c>
      <c r="D23" s="20" t="s">
        <v>226</v>
      </c>
      <c r="E23" s="20" t="s">
        <v>226</v>
      </c>
      <c r="F23" s="21" t="s">
        <v>227</v>
      </c>
    </row>
    <row r="24" spans="1:6">
      <c r="A24" s="19" t="s">
        <v>225</v>
      </c>
      <c r="B24" s="22" t="s">
        <v>228</v>
      </c>
      <c r="C24" s="22" t="s">
        <v>228</v>
      </c>
      <c r="D24" s="23" t="s">
        <v>229</v>
      </c>
      <c r="E24" s="23" t="s">
        <v>229</v>
      </c>
      <c r="F24" s="21" t="s">
        <v>227</v>
      </c>
    </row>
    <row r="25" spans="1:6">
      <c r="A25" s="19" t="s">
        <v>225</v>
      </c>
      <c r="B25" s="22" t="s">
        <v>228</v>
      </c>
      <c r="C25" s="22" t="s">
        <v>228</v>
      </c>
      <c r="D25" s="23" t="s">
        <v>229</v>
      </c>
      <c r="E25" s="23" t="s">
        <v>229</v>
      </c>
      <c r="F25" s="21" t="s">
        <v>227</v>
      </c>
    </row>
    <row r="26" spans="1:6">
      <c r="A26" s="24" t="s">
        <v>230</v>
      </c>
      <c r="B26" s="24" t="s">
        <v>230</v>
      </c>
      <c r="C26" s="24" t="s">
        <v>230</v>
      </c>
      <c r="D26" s="23" t="s">
        <v>229</v>
      </c>
      <c r="E26" s="23" t="s">
        <v>229</v>
      </c>
      <c r="F26" s="21" t="s">
        <v>227</v>
      </c>
    </row>
    <row r="27" spans="1:6">
      <c r="A27" s="24" t="s">
        <v>230</v>
      </c>
      <c r="B27" s="24" t="s">
        <v>230</v>
      </c>
      <c r="C27" s="24" t="s">
        <v>230</v>
      </c>
      <c r="D27" s="23" t="s">
        <v>229</v>
      </c>
      <c r="E27" s="23" t="s">
        <v>229</v>
      </c>
      <c r="F27" s="21" t="s">
        <v>227</v>
      </c>
    </row>
    <row r="28" spans="1:6">
      <c r="A28" s="25" t="s">
        <v>231</v>
      </c>
      <c r="B28" s="25" t="s">
        <v>231</v>
      </c>
      <c r="C28" s="25" t="s">
        <v>231</v>
      </c>
      <c r="D28" s="25" t="s">
        <v>231</v>
      </c>
      <c r="E28" s="25" t="s">
        <v>231</v>
      </c>
      <c r="F28" s="25" t="s">
        <v>231</v>
      </c>
    </row>
    <row r="30" spans="1:6">
      <c r="A30" s="2" t="s">
        <v>232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0"/>
  <sheetViews>
    <sheetView workbookViewId="0"/>
  </sheetViews>
  <sheetFormatPr defaultRowHeight="15"/>
  <cols>
    <col min="1" max="1" width="10" customWidth="1"/>
    <col min="2" max="2" width="14" customWidth="1"/>
    <col min="3" max="3" width="96" customWidth="1"/>
  </cols>
  <sheetData>
    <row r="1" spans="1:3">
      <c r="A1" s="1" t="s">
        <v>233</v>
      </c>
    </row>
    <row r="3" spans="1:3">
      <c r="A3" s="3" t="s">
        <v>2</v>
      </c>
      <c r="B3" s="3" t="s">
        <v>234</v>
      </c>
      <c r="C3" s="3" t="s">
        <v>235</v>
      </c>
    </row>
    <row r="4" spans="1:3" ht="44.1" customHeight="1">
      <c r="A4" s="4" t="s">
        <v>26</v>
      </c>
      <c r="B4" s="26" t="s">
        <v>236</v>
      </c>
      <c r="C4" s="5" t="s">
        <v>237</v>
      </c>
    </row>
    <row r="5" spans="1:3" ht="44.1" customHeight="1">
      <c r="A5" s="4" t="s">
        <v>86</v>
      </c>
      <c r="B5" s="26" t="s">
        <v>236</v>
      </c>
      <c r="C5" s="5" t="s">
        <v>238</v>
      </c>
    </row>
    <row r="6" spans="1:3" ht="30" customHeight="1">
      <c r="A6" s="4" t="s">
        <v>86</v>
      </c>
      <c r="B6" s="26" t="s">
        <v>236</v>
      </c>
      <c r="C6" s="5" t="s">
        <v>239</v>
      </c>
    </row>
    <row r="7" spans="1:3" ht="44.1" customHeight="1">
      <c r="A7" s="4" t="s">
        <v>101</v>
      </c>
      <c r="B7" s="26" t="s">
        <v>236</v>
      </c>
      <c r="C7" s="5" t="s">
        <v>240</v>
      </c>
    </row>
    <row r="8" spans="1:3" ht="44.1" customHeight="1">
      <c r="A8" s="4" t="s">
        <v>120</v>
      </c>
      <c r="B8" s="26" t="s">
        <v>236</v>
      </c>
      <c r="C8" s="5" t="s">
        <v>241</v>
      </c>
    </row>
    <row r="9" spans="1:3" ht="44.1" customHeight="1">
      <c r="A9" s="4" t="s">
        <v>120</v>
      </c>
      <c r="B9" s="27" t="s">
        <v>242</v>
      </c>
      <c r="C9" s="5" t="s">
        <v>243</v>
      </c>
    </row>
    <row r="10" spans="1:3" ht="44.1" customHeight="1">
      <c r="A10" s="4" t="s">
        <v>111</v>
      </c>
      <c r="B10" s="28" t="s">
        <v>244</v>
      </c>
      <c r="C10" s="5" t="s">
        <v>245</v>
      </c>
    </row>
    <row r="11" spans="1:3" ht="44.1" customHeight="1">
      <c r="A11" s="4" t="s">
        <v>142</v>
      </c>
      <c r="B11" s="28" t="s">
        <v>244</v>
      </c>
      <c r="C11" s="5" t="s">
        <v>246</v>
      </c>
    </row>
    <row r="12" spans="1:3" ht="30" customHeight="1">
      <c r="A12" s="4" t="s">
        <v>153</v>
      </c>
      <c r="B12" s="27" t="s">
        <v>242</v>
      </c>
      <c r="C12" s="5" t="s">
        <v>247</v>
      </c>
    </row>
    <row r="13" spans="1:3" ht="30" customHeight="1">
      <c r="A13" s="4" t="s">
        <v>163</v>
      </c>
      <c r="B13" s="27" t="s">
        <v>242</v>
      </c>
      <c r="C13" s="5" t="s">
        <v>248</v>
      </c>
    </row>
    <row r="14" spans="1:3" ht="44.1" customHeight="1">
      <c r="A14" s="4" t="s">
        <v>168</v>
      </c>
      <c r="B14" s="27" t="s">
        <v>242</v>
      </c>
      <c r="C14" s="5" t="s">
        <v>249</v>
      </c>
    </row>
    <row r="15" spans="1:3" ht="44.1" customHeight="1">
      <c r="A15" s="4" t="s">
        <v>250</v>
      </c>
      <c r="B15" s="29" t="s">
        <v>251</v>
      </c>
      <c r="C15" s="5" t="s">
        <v>252</v>
      </c>
    </row>
    <row r="16" spans="1:3" ht="44.1" customHeight="1">
      <c r="A16" s="4" t="s">
        <v>116</v>
      </c>
      <c r="B16" s="28" t="s">
        <v>244</v>
      </c>
      <c r="C16" s="5" t="s">
        <v>253</v>
      </c>
    </row>
    <row r="17" spans="1:3" ht="44.1" customHeight="1">
      <c r="A17" s="4" t="s">
        <v>26</v>
      </c>
      <c r="B17" s="26" t="s">
        <v>236</v>
      </c>
      <c r="C17" s="5" t="s">
        <v>254</v>
      </c>
    </row>
    <row r="18" spans="1:3" ht="44.1" customHeight="1">
      <c r="A18" s="4" t="s">
        <v>86</v>
      </c>
      <c r="B18" s="26" t="s">
        <v>236</v>
      </c>
      <c r="C18" s="5" t="s">
        <v>255</v>
      </c>
    </row>
    <row r="19" spans="1:3" ht="44.1" customHeight="1">
      <c r="A19" s="4" t="s">
        <v>91</v>
      </c>
      <c r="B19" s="26" t="s">
        <v>236</v>
      </c>
      <c r="C19" s="5" t="s">
        <v>256</v>
      </c>
    </row>
    <row r="20" spans="1:3" ht="44.1" customHeight="1">
      <c r="A20" s="4" t="s">
        <v>250</v>
      </c>
      <c r="B20" s="29" t="s">
        <v>257</v>
      </c>
      <c r="C20" s="5" t="s">
        <v>258</v>
      </c>
    </row>
    <row r="21" spans="1:3" ht="44.1" customHeight="1">
      <c r="A21" s="4" t="s">
        <v>111</v>
      </c>
      <c r="B21" s="28" t="s">
        <v>259</v>
      </c>
      <c r="C21" s="5" t="s">
        <v>260</v>
      </c>
    </row>
    <row r="22" spans="1:3" ht="44.1" customHeight="1">
      <c r="A22" s="4" t="s">
        <v>116</v>
      </c>
      <c r="B22" s="28" t="s">
        <v>259</v>
      </c>
      <c r="C22" s="5" t="s">
        <v>261</v>
      </c>
    </row>
    <row r="23" spans="1:3" ht="44.1" customHeight="1">
      <c r="A23" s="4" t="s">
        <v>250</v>
      </c>
      <c r="B23" s="28" t="s">
        <v>259</v>
      </c>
      <c r="C23" s="5" t="s">
        <v>262</v>
      </c>
    </row>
    <row r="24" spans="1:3" ht="30" customHeight="1">
      <c r="A24" s="4" t="s">
        <v>250</v>
      </c>
      <c r="B24" s="29" t="s">
        <v>257</v>
      </c>
      <c r="C24" s="5" t="s">
        <v>263</v>
      </c>
    </row>
    <row r="25" spans="1:3" ht="44.1" customHeight="1">
      <c r="A25" s="4" t="s">
        <v>250</v>
      </c>
      <c r="B25" s="29" t="s">
        <v>257</v>
      </c>
      <c r="C25" s="5" t="s">
        <v>264</v>
      </c>
    </row>
    <row r="26" spans="1:3" ht="44.1" customHeight="1">
      <c r="A26" s="4" t="s">
        <v>250</v>
      </c>
      <c r="B26" s="28" t="s">
        <v>259</v>
      </c>
      <c r="C26" s="5" t="s">
        <v>265</v>
      </c>
    </row>
    <row r="27" spans="1:3" ht="44.1" customHeight="1">
      <c r="A27" s="4" t="s">
        <v>163</v>
      </c>
      <c r="B27" s="28" t="s">
        <v>259</v>
      </c>
      <c r="C27" s="5" t="s">
        <v>266</v>
      </c>
    </row>
    <row r="28" spans="1:3" ht="44.1" customHeight="1">
      <c r="A28" s="4" t="s">
        <v>168</v>
      </c>
      <c r="B28" s="28" t="s">
        <v>259</v>
      </c>
      <c r="C28" s="5" t="s">
        <v>267</v>
      </c>
    </row>
    <row r="29" spans="1:3" ht="44.1" customHeight="1">
      <c r="A29" s="4" t="s">
        <v>250</v>
      </c>
      <c r="B29" s="28" t="s">
        <v>259</v>
      </c>
      <c r="C29" s="5" t="s">
        <v>268</v>
      </c>
    </row>
    <row r="30" spans="1:3" ht="44.1" customHeight="1">
      <c r="A30" s="4" t="s">
        <v>250</v>
      </c>
      <c r="B30" s="28" t="s">
        <v>259</v>
      </c>
      <c r="C30" s="5" t="s">
        <v>269</v>
      </c>
    </row>
    <row r="31" spans="1:3" ht="30" customHeight="1">
      <c r="A31" s="4" t="s">
        <v>41</v>
      </c>
      <c r="B31" s="28" t="s">
        <v>259</v>
      </c>
      <c r="C31" s="5" t="s">
        <v>270</v>
      </c>
    </row>
    <row r="32" spans="1:3" ht="44.1" customHeight="1">
      <c r="A32" s="4" t="s">
        <v>111</v>
      </c>
      <c r="B32" s="28" t="s">
        <v>259</v>
      </c>
      <c r="C32" s="5" t="s">
        <v>271</v>
      </c>
    </row>
    <row r="33" spans="1:3" ht="44.1" customHeight="1">
      <c r="A33" s="4" t="s">
        <v>116</v>
      </c>
      <c r="B33" s="28" t="s">
        <v>272</v>
      </c>
      <c r="C33" s="5" t="s">
        <v>273</v>
      </c>
    </row>
    <row r="34" spans="1:3" ht="44.1" customHeight="1">
      <c r="A34" s="4" t="s">
        <v>116</v>
      </c>
      <c r="B34" s="28" t="s">
        <v>259</v>
      </c>
      <c r="C34" s="5" t="s">
        <v>274</v>
      </c>
    </row>
    <row r="35" spans="1:3" ht="30" customHeight="1">
      <c r="A35" s="4" t="s">
        <v>142</v>
      </c>
      <c r="B35" s="28" t="s">
        <v>259</v>
      </c>
      <c r="C35" s="5" t="s">
        <v>275</v>
      </c>
    </row>
    <row r="36" spans="1:3" ht="30" customHeight="1">
      <c r="A36" s="4" t="s">
        <v>250</v>
      </c>
      <c r="B36" s="29" t="s">
        <v>257</v>
      </c>
      <c r="C36" s="5" t="s">
        <v>276</v>
      </c>
    </row>
    <row r="37" spans="1:3" ht="44.1" customHeight="1">
      <c r="A37" s="4" t="s">
        <v>163</v>
      </c>
      <c r="B37" s="27" t="s">
        <v>242</v>
      </c>
      <c r="C37" s="5" t="s">
        <v>277</v>
      </c>
    </row>
    <row r="38" spans="1:3" ht="44.1" customHeight="1">
      <c r="A38" s="4" t="s">
        <v>250</v>
      </c>
      <c r="B38" s="28" t="s">
        <v>272</v>
      </c>
      <c r="C38" s="5" t="s">
        <v>278</v>
      </c>
    </row>
    <row r="39" spans="1:3" ht="44.1" customHeight="1">
      <c r="A39" s="4" t="s">
        <v>250</v>
      </c>
      <c r="B39" s="29" t="s">
        <v>251</v>
      </c>
      <c r="C39" s="5" t="s">
        <v>279</v>
      </c>
    </row>
    <row r="40" spans="1:3" ht="44.1" customHeight="1">
      <c r="A40" s="4" t="s">
        <v>250</v>
      </c>
      <c r="B40" s="28" t="s">
        <v>272</v>
      </c>
      <c r="C40" s="5" t="s">
        <v>280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CHEN CHEN</cp:lastModifiedBy>
  <cp:revision/>
  <dcterms:created xsi:type="dcterms:W3CDTF">2026-10-15T03:13:02Z</dcterms:created>
  <dcterms:modified xsi:type="dcterms:W3CDTF">2026-10-16T07:13:39Z</dcterms:modified>
  <cp:category/>
  <cp:contentStatus/>
</cp:coreProperties>
</file>